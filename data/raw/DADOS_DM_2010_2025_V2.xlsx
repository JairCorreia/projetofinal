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and\Documents\Pos_Matematica_Empresarial_Tecnologia\Preparacao_Analise_Dados_R\"/>
    </mc:Choice>
  </mc:AlternateContent>
  <bookViews>
    <workbookView xWindow="-98" yWindow="-98" windowWidth="21795" windowHeight="12975"/>
  </bookViews>
  <sheets>
    <sheet name="População_EMPREGADA" sheetId="14" r:id="rId1"/>
    <sheet name="TAXA_COBERTURA" sheetId="13" r:id="rId2"/>
    <sheet name="SDO" sheetId="1" r:id="rId3"/>
    <sheet name="Maternidade" sheetId="3" r:id="rId4"/>
    <sheet name="CMS" sheetId="2" r:id="rId5"/>
    <sheet name="ESTOMATOLOGIA" sheetId="4" r:id="rId6"/>
    <sheet name="FISIOTERAPIA" sheetId="5" r:id="rId7"/>
    <sheet name="EXAMES_CLINICOS" sheetId="6" r:id="rId8"/>
    <sheet name="AMED" sheetId="7" r:id="rId9"/>
    <sheet name="PROTESE" sheetId="8" r:id="rId10"/>
    <sheet name="SDU" sheetId="10" r:id="rId11"/>
    <sheet name="TRANSPORTE" sheetId="9" r:id="rId12"/>
    <sheet name="EXTERNO" sheetId="11" r:id="rId13"/>
    <sheet name="OUTRA_DESPESA" sheetId="12" r:id="rId14"/>
  </sheets>
  <definedNames>
    <definedName name="_xlnm._FilterDatabase" localSheetId="0" hidden="1">População_EMPREGADA!$A$1:$F$15</definedName>
    <definedName name="_xlnm._FilterDatabase" localSheetId="1" hidden="1">TAXA_COBERTURA!$A$1:$N$15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4" l="1"/>
  <c r="F10" i="14" l="1"/>
  <c r="F12" i="14"/>
  <c r="F3" i="14"/>
  <c r="F4" i="14"/>
  <c r="F5" i="14"/>
  <c r="F6" i="14"/>
  <c r="F7" i="14"/>
  <c r="F8" i="14"/>
  <c r="F9" i="14"/>
  <c r="F11" i="14"/>
  <c r="F14" i="14"/>
  <c r="F15" i="14"/>
  <c r="F16" i="14"/>
  <c r="F2" i="14"/>
  <c r="K14" i="13"/>
  <c r="K2" i="13"/>
  <c r="K3" i="13"/>
  <c r="K4" i="13"/>
  <c r="K5" i="13"/>
  <c r="K6" i="13"/>
  <c r="K7" i="13"/>
  <c r="K8" i="13"/>
  <c r="K9" i="13"/>
  <c r="K10" i="13"/>
  <c r="K11" i="13"/>
  <c r="K12" i="13"/>
  <c r="K13" i="13"/>
  <c r="K15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2" i="13"/>
</calcChain>
</file>

<file path=xl/sharedStrings.xml><?xml version="1.0" encoding="utf-8"?>
<sst xmlns="http://schemas.openxmlformats.org/spreadsheetml/2006/main" count="237" uniqueCount="30">
  <si>
    <t>SDO</t>
  </si>
  <si>
    <t>Maternidade</t>
  </si>
  <si>
    <t>CMS</t>
  </si>
  <si>
    <t>Estomatologia</t>
  </si>
  <si>
    <t>Fisioterapia</t>
  </si>
  <si>
    <t xml:space="preserve">Medicamentos </t>
  </si>
  <si>
    <t>Protese</t>
  </si>
  <si>
    <t xml:space="preserve">Transporte </t>
  </si>
  <si>
    <t>SDU_Interno</t>
  </si>
  <si>
    <t>Outras_Desp</t>
  </si>
  <si>
    <t>Exames</t>
  </si>
  <si>
    <t>Beneficiários</t>
  </si>
  <si>
    <t>Taxa_cobertura_Residente</t>
  </si>
  <si>
    <t>Taxa_cobertura_Pop_Empregada</t>
  </si>
  <si>
    <t>PIB</t>
  </si>
  <si>
    <t>Inflação</t>
  </si>
  <si>
    <t>ANO</t>
  </si>
  <si>
    <t>Prestação</t>
  </si>
  <si>
    <t>Despesas</t>
  </si>
  <si>
    <t>População_Ativa</t>
  </si>
  <si>
    <t>Pensionista_INPS</t>
  </si>
  <si>
    <t>Pensionista_FP</t>
  </si>
  <si>
    <t>Taxa_Cobertura_Pop_Empregada</t>
  </si>
  <si>
    <t>Ano</t>
  </si>
  <si>
    <t>População</t>
  </si>
  <si>
    <t>População_empregada</t>
  </si>
  <si>
    <t>Segurados</t>
  </si>
  <si>
    <t>PIB_Nominal</t>
  </si>
  <si>
    <t>Salario_Médio_Segurados</t>
  </si>
  <si>
    <t>Pensionistas_Total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</si>
</sst>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_ ;\-#,##0\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legreya Sans"/>
    </font>
    <font>
      <sz val="12"/>
      <color theme="1"/>
      <name val="Alegreya Sans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left"/>
    </xf>
    <xf numFmtId="165" fontId="0" fillId="0" borderId="0" xfId="0" applyNumberForma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3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5" fontId="2" fillId="0" borderId="2" xfId="1" applyNumberFormat="1" applyFont="1" applyBorder="1" applyAlignment="1">
      <alignment horizontal="center" vertical="center"/>
    </xf>
    <xf numFmtId="3" fontId="3" fillId="0" borderId="0" xfId="0" applyNumberFormat="1" applyFont="1"/>
    <xf numFmtId="3" fontId="4" fillId="2" borderId="0" xfId="0" applyNumberFormat="1" applyFont="1" applyFill="1" applyAlignment="1">
      <alignment horizontal="right" vertical="center" indent="1"/>
    </xf>
    <xf numFmtId="166" fontId="2" fillId="0" borderId="2" xfId="0" applyNumberFormat="1" applyFont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3" fontId="6" fillId="3" borderId="0" xfId="0" applyNumberFormat="1" applyFont="1" applyFill="1" applyAlignment="1">
      <alignment horizontal="right" vertical="center" wrapText="1"/>
    </xf>
    <xf numFmtId="166" fontId="2" fillId="0" borderId="2" xfId="2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167" fontId="0" fillId="0" borderId="0" xfId="1" applyNumberFormat="1" applyFont="1" applyAlignment="1">
      <alignment horizontal="left"/>
    </xf>
  </cellXfs>
  <cellStyles count="4">
    <cellStyle name="Normal" xfId="0" builtinId="0"/>
    <cellStyle name="Normal 3" xfId="3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D13" sqref="D13"/>
    </sheetView>
  </sheetViews>
  <sheetFormatPr defaultColWidth="9.0625" defaultRowHeight="15"/>
  <cols>
    <col min="1" max="1" width="7.75" style="7" customWidth="1"/>
    <col min="2" max="2" width="19.0625" style="7" customWidth="1"/>
    <col min="3" max="3" width="15.875" style="7" customWidth="1"/>
    <col min="4" max="4" width="20.4375" style="7" bestFit="1" customWidth="1"/>
    <col min="5" max="5" width="14.125" style="11" customWidth="1"/>
    <col min="6" max="6" width="29" style="11" bestFit="1" customWidth="1"/>
    <col min="7" max="16384" width="9.0625" style="9"/>
  </cols>
  <sheetData>
    <row r="1" spans="1:7" ht="15.4" thickBot="1">
      <c r="A1" s="7" t="s">
        <v>23</v>
      </c>
      <c r="B1" s="7" t="s">
        <v>24</v>
      </c>
      <c r="C1" s="7" t="s">
        <v>19</v>
      </c>
      <c r="D1" s="8" t="s">
        <v>25</v>
      </c>
      <c r="E1" s="8" t="s">
        <v>26</v>
      </c>
      <c r="F1" s="8" t="s">
        <v>22</v>
      </c>
    </row>
    <row r="2" spans="1:7" ht="15.4" thickBot="1">
      <c r="A2" s="7">
        <v>2011</v>
      </c>
      <c r="B2" s="10">
        <v>499653.96084266313</v>
      </c>
      <c r="C2" s="12">
        <v>203497.17982870241</v>
      </c>
      <c r="D2" s="10">
        <v>178571.36502913636</v>
      </c>
      <c r="E2" s="10">
        <v>72143</v>
      </c>
      <c r="F2" s="20">
        <f>E2/D2</f>
        <v>0.40400094375841772</v>
      </c>
    </row>
    <row r="3" spans="1:7" ht="15.4" thickBot="1">
      <c r="A3" s="7">
        <v>2012</v>
      </c>
      <c r="B3" s="10">
        <v>505982.00301814079</v>
      </c>
      <c r="C3" s="12">
        <v>225819.37704706192</v>
      </c>
      <c r="D3" s="10">
        <v>187903.90072822571</v>
      </c>
      <c r="E3" s="10">
        <v>73440</v>
      </c>
      <c r="F3" s="20">
        <f t="shared" ref="F3:F16" si="0">E3/D3</f>
        <v>0.39083808114350826</v>
      </c>
    </row>
    <row r="4" spans="1:7" ht="15.4" thickBot="1">
      <c r="A4" s="7">
        <v>2013</v>
      </c>
      <c r="B4" s="10">
        <v>512042.9402551651</v>
      </c>
      <c r="C4" s="12">
        <v>221862.4712767601</v>
      </c>
      <c r="D4" s="10">
        <v>185474.46635055542</v>
      </c>
      <c r="E4" s="10">
        <v>73129</v>
      </c>
      <c r="F4" s="20">
        <f t="shared" si="0"/>
        <v>0.39428068692637597</v>
      </c>
    </row>
    <row r="5" spans="1:7" ht="15.4" thickBot="1">
      <c r="A5" s="7">
        <v>2014</v>
      </c>
      <c r="B5" s="10">
        <v>518468.00103378302</v>
      </c>
      <c r="C5" s="12">
        <v>217158.13928723335</v>
      </c>
      <c r="D5" s="10">
        <v>182830.6992726326</v>
      </c>
      <c r="E5" s="10">
        <v>74207</v>
      </c>
      <c r="F5" s="20">
        <f t="shared" si="0"/>
        <v>0.40587822666118212</v>
      </c>
    </row>
    <row r="6" spans="1:7" ht="15.4" thickBot="1">
      <c r="A6" s="7">
        <v>2015</v>
      </c>
      <c r="B6" s="10">
        <v>524623</v>
      </c>
      <c r="C6" s="12">
        <v>222084.5542910099</v>
      </c>
      <c r="D6" s="10">
        <v>194485.49893116951</v>
      </c>
      <c r="E6" s="10">
        <v>76785</v>
      </c>
      <c r="F6" s="20">
        <f t="shared" si="0"/>
        <v>0.39481092637747267</v>
      </c>
    </row>
    <row r="7" spans="1:7" ht="15.4" thickBot="1">
      <c r="A7" s="7">
        <v>2016</v>
      </c>
      <c r="B7" s="10">
        <v>530913</v>
      </c>
      <c r="C7" s="12">
        <v>246680.34998345375</v>
      </c>
      <c r="D7" s="10">
        <v>209725.45558857918</v>
      </c>
      <c r="E7" s="10">
        <v>83441</v>
      </c>
      <c r="F7" s="20">
        <f t="shared" si="0"/>
        <v>0.39785823693089106</v>
      </c>
    </row>
    <row r="8" spans="1:7" ht="15.4" thickBot="1">
      <c r="A8" s="7">
        <v>2017</v>
      </c>
      <c r="B8" s="10">
        <v>537231</v>
      </c>
      <c r="C8" s="12">
        <v>232198.35778307915</v>
      </c>
      <c r="D8" s="10">
        <v>203774.80252051353</v>
      </c>
      <c r="E8" s="10">
        <v>92444</v>
      </c>
      <c r="F8" s="20">
        <f t="shared" si="0"/>
        <v>0.4536576596151719</v>
      </c>
    </row>
    <row r="9" spans="1:7" ht="15.4" thickBot="1">
      <c r="A9" s="7">
        <v>2018</v>
      </c>
      <c r="B9" s="10">
        <v>543492</v>
      </c>
      <c r="C9" s="12">
        <v>222028.0207157135</v>
      </c>
      <c r="D9" s="10">
        <v>195000.10097503662</v>
      </c>
      <c r="E9" s="10">
        <v>98059</v>
      </c>
      <c r="F9" s="20">
        <f t="shared" si="0"/>
        <v>0.50286640627203183</v>
      </c>
    </row>
    <row r="10" spans="1:7" ht="15.4" thickBot="1">
      <c r="A10" s="7">
        <v>2019</v>
      </c>
      <c r="B10" s="10">
        <v>549699</v>
      </c>
      <c r="C10" s="12">
        <v>232603.87462306023</v>
      </c>
      <c r="D10" s="10">
        <v>206344.41780471802</v>
      </c>
      <c r="E10" s="10">
        <v>105272</v>
      </c>
      <c r="F10" s="20">
        <f>E10/D10</f>
        <v>0.51017614685185331</v>
      </c>
    </row>
    <row r="11" spans="1:7" ht="15.4" thickBot="1">
      <c r="A11" s="7">
        <v>2020</v>
      </c>
      <c r="B11" s="10">
        <v>555838.99754667282</v>
      </c>
      <c r="C11" s="12">
        <v>218350.84702324867</v>
      </c>
      <c r="D11" s="10">
        <v>186626.71273469925</v>
      </c>
      <c r="E11" s="10">
        <v>103189</v>
      </c>
      <c r="F11" s="20">
        <f t="shared" si="0"/>
        <v>0.55291655994974942</v>
      </c>
      <c r="G11" s="13"/>
    </row>
    <row r="12" spans="1:7" ht="15.4" thickBot="1">
      <c r="A12" s="7">
        <v>2021</v>
      </c>
      <c r="B12" s="10">
        <v>506594.99927830696</v>
      </c>
      <c r="C12" s="12">
        <v>231663.98594713211</v>
      </c>
      <c r="D12" s="10">
        <v>211015</v>
      </c>
      <c r="E12" s="10">
        <v>104851</v>
      </c>
      <c r="F12" s="20">
        <f>E12/D12</f>
        <v>0.496888846764448</v>
      </c>
    </row>
    <row r="13" spans="1:7" ht="15.4" thickBot="1">
      <c r="A13" s="7">
        <v>2022</v>
      </c>
      <c r="B13" s="10">
        <v>506594.99927830696</v>
      </c>
      <c r="C13" s="12">
        <v>214014.10405898094</v>
      </c>
      <c r="D13" s="10">
        <v>190579.178784132</v>
      </c>
      <c r="E13" s="10">
        <v>115235</v>
      </c>
      <c r="F13" s="20">
        <f>E13/D13</f>
        <v>0.60465681894099277</v>
      </c>
    </row>
    <row r="14" spans="1:7" ht="15.4" thickBot="1">
      <c r="A14" s="7">
        <v>2023</v>
      </c>
      <c r="B14" s="10">
        <v>509078</v>
      </c>
      <c r="C14" s="12">
        <v>212313.24716496468</v>
      </c>
      <c r="D14" s="10">
        <v>190460.70359420776</v>
      </c>
      <c r="E14" s="10">
        <v>119275</v>
      </c>
      <c r="F14" s="20">
        <f t="shared" si="0"/>
        <v>0.62624466753060637</v>
      </c>
    </row>
    <row r="15" spans="1:7" ht="15.4" thickBot="1">
      <c r="A15" s="7">
        <v>2024</v>
      </c>
      <c r="B15" s="10">
        <v>511534.00108289719</v>
      </c>
      <c r="C15" s="12">
        <v>216287</v>
      </c>
      <c r="D15" s="10">
        <v>198914</v>
      </c>
      <c r="E15" s="10">
        <v>124601</v>
      </c>
      <c r="F15" s="20">
        <f t="shared" si="0"/>
        <v>0.62640638667967063</v>
      </c>
    </row>
    <row r="16" spans="1:7" ht="15.4" thickBot="1">
      <c r="A16" s="7">
        <v>2025</v>
      </c>
      <c r="B16" s="10">
        <v>513997</v>
      </c>
      <c r="C16" s="12">
        <v>228139</v>
      </c>
      <c r="D16" s="10">
        <v>211015</v>
      </c>
      <c r="E16" s="10">
        <v>131268</v>
      </c>
      <c r="F16" s="20">
        <f t="shared" si="0"/>
        <v>0.62207899912328513</v>
      </c>
    </row>
    <row r="17" spans="3:4">
      <c r="C17" s="16"/>
      <c r="D17" s="16"/>
    </row>
    <row r="18" spans="3:4">
      <c r="C18" s="16"/>
      <c r="D18" s="14"/>
    </row>
    <row r="19" spans="3:4">
      <c r="C19" s="16"/>
      <c r="D19" s="14"/>
    </row>
    <row r="20" spans="3:4">
      <c r="C20" s="16"/>
      <c r="D20" s="14"/>
    </row>
    <row r="21" spans="3:4">
      <c r="C21" s="16"/>
      <c r="D21" s="14"/>
    </row>
    <row r="22" spans="3:4">
      <c r="C22" s="16"/>
      <c r="D22" s="14"/>
    </row>
    <row r="23" spans="3:4">
      <c r="C23" s="16"/>
      <c r="D23" s="14"/>
    </row>
    <row r="24" spans="3:4">
      <c r="C24" s="17"/>
      <c r="D24" s="14"/>
    </row>
    <row r="25" spans="3:4">
      <c r="C25" s="17"/>
      <c r="D25" s="14"/>
    </row>
    <row r="26" spans="3:4">
      <c r="C26" s="17"/>
      <c r="D26" s="14"/>
    </row>
    <row r="27" spans="3:4">
      <c r="C27" s="17"/>
      <c r="D27" s="14"/>
    </row>
    <row r="28" spans="3:4">
      <c r="C28" s="18"/>
      <c r="D28" s="14"/>
    </row>
    <row r="29" spans="3:4">
      <c r="C29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H6" sqref="H6"/>
    </sheetView>
  </sheetViews>
  <sheetFormatPr defaultColWidth="9.0625" defaultRowHeight="15"/>
  <cols>
    <col min="1" max="1" width="6.125" style="7" customWidth="1"/>
    <col min="2" max="2" width="10.625" style="7" customWidth="1"/>
    <col min="3" max="3" width="16.1875" style="7" customWidth="1"/>
    <col min="4" max="4" width="19.6875" style="7" customWidth="1"/>
    <col min="5" max="5" width="10.9375" style="11" customWidth="1"/>
    <col min="6" max="6" width="17" style="11" customWidth="1"/>
    <col min="7" max="7" width="15.25" style="11" customWidth="1"/>
    <col min="8" max="8" width="17.5625" style="11" bestFit="1" customWidth="1"/>
    <col min="9" max="9" width="22.875" style="11" customWidth="1"/>
    <col min="10" max="10" width="32.25" style="11" hidden="1" customWidth="1"/>
    <col min="11" max="11" width="23.25" style="11" customWidth="1"/>
    <col min="12" max="12" width="13.25" style="9" customWidth="1"/>
    <col min="13" max="13" width="8.8125" style="9" customWidth="1"/>
    <col min="14" max="14" width="9.3125" style="9" customWidth="1"/>
    <col min="15" max="15" width="13.1875" style="11" customWidth="1"/>
    <col min="16" max="16384" width="9.0625" style="9"/>
  </cols>
  <sheetData>
    <row r="1" spans="1:15" ht="15.4" thickBot="1">
      <c r="B1" s="7" t="s">
        <v>24</v>
      </c>
      <c r="C1" s="7" t="s">
        <v>19</v>
      </c>
      <c r="D1" s="8" t="s">
        <v>25</v>
      </c>
      <c r="E1" s="8" t="s">
        <v>26</v>
      </c>
      <c r="F1" s="8" t="s">
        <v>20</v>
      </c>
      <c r="G1" s="8" t="s">
        <v>21</v>
      </c>
      <c r="H1" s="8" t="s">
        <v>29</v>
      </c>
      <c r="I1" s="8" t="s">
        <v>28</v>
      </c>
      <c r="J1" s="8" t="s">
        <v>13</v>
      </c>
      <c r="K1" s="8" t="s">
        <v>12</v>
      </c>
      <c r="L1" s="8" t="s">
        <v>11</v>
      </c>
      <c r="M1" s="21" t="s">
        <v>14</v>
      </c>
      <c r="N1" s="21" t="s">
        <v>15</v>
      </c>
      <c r="O1" s="12" t="s">
        <v>27</v>
      </c>
    </row>
    <row r="2" spans="1:15" ht="15.4" thickBot="1">
      <c r="A2" s="7">
        <v>2011</v>
      </c>
      <c r="B2" s="10">
        <v>499653.96084266313</v>
      </c>
      <c r="C2" s="10">
        <v>203497.17982870241</v>
      </c>
      <c r="D2" s="10">
        <v>178571.36502913636</v>
      </c>
      <c r="E2" s="10">
        <v>72143</v>
      </c>
      <c r="F2" s="10">
        <v>5758</v>
      </c>
      <c r="G2" s="10">
        <v>4597</v>
      </c>
      <c r="H2" s="10">
        <v>10355</v>
      </c>
      <c r="I2" s="10">
        <v>44970</v>
      </c>
      <c r="J2" s="15">
        <f>E2/D2</f>
        <v>0.40400094375841772</v>
      </c>
      <c r="K2" s="20">
        <f t="shared" ref="K2:K15" si="0">L2/B2</f>
        <v>0.38136793647874884</v>
      </c>
      <c r="L2" s="12">
        <v>190552</v>
      </c>
      <c r="M2" s="20">
        <v>3.9247182091998602E-2</v>
      </c>
      <c r="N2" s="20">
        <v>4.4999999999999998E-2</v>
      </c>
      <c r="O2" s="12">
        <v>162265.34642259462</v>
      </c>
    </row>
    <row r="3" spans="1:15" ht="15.4" thickBot="1">
      <c r="A3" s="7">
        <v>2012</v>
      </c>
      <c r="B3" s="10">
        <v>505982.00301814079</v>
      </c>
      <c r="C3" s="10">
        <v>225819.37704706192</v>
      </c>
      <c r="D3" s="10">
        <v>187903.90072822571</v>
      </c>
      <c r="E3" s="10">
        <v>73440</v>
      </c>
      <c r="F3" s="10">
        <v>5865</v>
      </c>
      <c r="G3" s="10">
        <v>4923</v>
      </c>
      <c r="H3" s="10">
        <v>10788</v>
      </c>
      <c r="I3" s="10">
        <v>45244</v>
      </c>
      <c r="J3" s="15">
        <f t="shared" ref="J3:J15" si="1">E3/D3</f>
        <v>0.39083808114350826</v>
      </c>
      <c r="K3" s="20">
        <f t="shared" si="0"/>
        <v>0.38421327011709955</v>
      </c>
      <c r="L3" s="12">
        <v>194405</v>
      </c>
      <c r="M3" s="20">
        <v>1.08364850742684E-2</v>
      </c>
      <c r="N3" s="20">
        <v>2.5000000000000001E-2</v>
      </c>
      <c r="O3" s="12">
        <v>165135.16748731254</v>
      </c>
    </row>
    <row r="4" spans="1:15" ht="15.4" thickBot="1">
      <c r="A4" s="7">
        <v>2013</v>
      </c>
      <c r="B4" s="10">
        <v>512042.9402551651</v>
      </c>
      <c r="C4" s="10">
        <v>221862.4712767601</v>
      </c>
      <c r="D4" s="10">
        <v>185474.46635055542</v>
      </c>
      <c r="E4" s="10">
        <v>73129</v>
      </c>
      <c r="F4" s="10">
        <v>5970</v>
      </c>
      <c r="G4" s="10">
        <v>5190</v>
      </c>
      <c r="H4" s="10">
        <v>11160</v>
      </c>
      <c r="I4" s="10">
        <v>46251</v>
      </c>
      <c r="J4" s="15">
        <f t="shared" si="1"/>
        <v>0.39428068692637597</v>
      </c>
      <c r="K4" s="20">
        <f t="shared" si="0"/>
        <v>0.39067621926456608</v>
      </c>
      <c r="L4" s="12">
        <v>200043</v>
      </c>
      <c r="M4" s="20">
        <v>6.3213669524266897E-3</v>
      </c>
      <c r="N4" s="20">
        <v>1.4999999999999999E-2</v>
      </c>
      <c r="O4" s="12">
        <v>168546.70121105859</v>
      </c>
    </row>
    <row r="5" spans="1:15" ht="15.4" thickBot="1">
      <c r="A5" s="7">
        <v>2014</v>
      </c>
      <c r="B5" s="10">
        <v>518468.00103378302</v>
      </c>
      <c r="C5" s="10">
        <v>217158.13928723335</v>
      </c>
      <c r="D5" s="10">
        <v>182830.6992726326</v>
      </c>
      <c r="E5" s="10">
        <v>74207</v>
      </c>
      <c r="F5" s="10">
        <v>6121</v>
      </c>
      <c r="G5" s="10">
        <v>5525</v>
      </c>
      <c r="H5" s="10">
        <v>11646</v>
      </c>
      <c r="I5" s="10">
        <v>46705</v>
      </c>
      <c r="J5" s="15">
        <f t="shared" si="1"/>
        <v>0.40587822666118212</v>
      </c>
      <c r="K5" s="20">
        <f t="shared" si="0"/>
        <v>0.39778925524578607</v>
      </c>
      <c r="L5" s="12">
        <v>206241</v>
      </c>
      <c r="M5" s="20">
        <v>6.9666685023597203E-3</v>
      </c>
      <c r="N5" s="20">
        <v>-2E-3</v>
      </c>
      <c r="O5" s="12">
        <v>169550.64617733023</v>
      </c>
    </row>
    <row r="6" spans="1:15" ht="15.4" thickBot="1">
      <c r="A6" s="7">
        <v>2015</v>
      </c>
      <c r="B6" s="10">
        <v>524623</v>
      </c>
      <c r="C6" s="10">
        <v>222084.5542910099</v>
      </c>
      <c r="D6" s="10">
        <v>194485.49893116951</v>
      </c>
      <c r="E6" s="10">
        <v>76785</v>
      </c>
      <c r="F6" s="10">
        <v>6460</v>
      </c>
      <c r="G6" s="10">
        <v>5690</v>
      </c>
      <c r="H6" s="10">
        <v>12150</v>
      </c>
      <c r="I6" s="10">
        <v>47116</v>
      </c>
      <c r="J6" s="15">
        <f t="shared" si="1"/>
        <v>0.39481092637747267</v>
      </c>
      <c r="K6" s="20">
        <f t="shared" si="0"/>
        <v>0.40076969557186781</v>
      </c>
      <c r="L6" s="12">
        <v>210253</v>
      </c>
      <c r="M6" s="20">
        <v>9.3602650776081191E-3</v>
      </c>
      <c r="N6" s="20">
        <v>1E-3</v>
      </c>
      <c r="O6" s="12">
        <v>173910.81400000001</v>
      </c>
    </row>
    <row r="7" spans="1:15" ht="15.4" thickBot="1">
      <c r="A7" s="7">
        <v>2016</v>
      </c>
      <c r="B7" s="10">
        <v>530913</v>
      </c>
      <c r="C7" s="10">
        <v>246680.34998345375</v>
      </c>
      <c r="D7" s="10">
        <v>209725.45558857918</v>
      </c>
      <c r="E7" s="10">
        <v>83441</v>
      </c>
      <c r="F7" s="10">
        <v>6767</v>
      </c>
      <c r="G7" s="10">
        <v>6288</v>
      </c>
      <c r="H7" s="10">
        <v>13055</v>
      </c>
      <c r="I7" s="10">
        <v>47173</v>
      </c>
      <c r="J7" s="15">
        <f t="shared" si="1"/>
        <v>0.39785823693089106</v>
      </c>
      <c r="K7" s="20">
        <f t="shared" si="0"/>
        <v>0.42421639703680264</v>
      </c>
      <c r="L7" s="12">
        <v>225222</v>
      </c>
      <c r="M7" s="20">
        <v>4.2807148266237098E-2</v>
      </c>
      <c r="N7" s="20">
        <v>-1.4076655052265101E-2</v>
      </c>
      <c r="O7" s="12">
        <v>184402.07499999995</v>
      </c>
    </row>
    <row r="8" spans="1:15" ht="15.4" thickBot="1">
      <c r="A8" s="7">
        <v>2017</v>
      </c>
      <c r="B8" s="10">
        <v>537231</v>
      </c>
      <c r="C8" s="10">
        <v>232198.35778307915</v>
      </c>
      <c r="D8" s="10">
        <v>203774.80252051353</v>
      </c>
      <c r="E8" s="10">
        <v>92444</v>
      </c>
      <c r="F8" s="10">
        <v>7184</v>
      </c>
      <c r="G8" s="10">
        <v>7188</v>
      </c>
      <c r="H8" s="10">
        <v>14372</v>
      </c>
      <c r="I8" s="10">
        <v>46337</v>
      </c>
      <c r="J8" s="15">
        <f t="shared" si="1"/>
        <v>0.4536576596151719</v>
      </c>
      <c r="K8" s="20">
        <f t="shared" si="0"/>
        <v>0.4448086577282398</v>
      </c>
      <c r="L8" s="12">
        <v>238965</v>
      </c>
      <c r="M8" s="20">
        <v>4.5513148374279402E-2</v>
      </c>
      <c r="N8" s="20">
        <v>7.7042691546507199E-3</v>
      </c>
      <c r="O8" s="12">
        <v>195295.17600000001</v>
      </c>
    </row>
    <row r="9" spans="1:15" ht="15.4" thickBot="1">
      <c r="A9" s="7">
        <v>2018</v>
      </c>
      <c r="B9" s="10">
        <v>543492</v>
      </c>
      <c r="C9" s="10">
        <v>222028.0207157135</v>
      </c>
      <c r="D9" s="10">
        <v>195000.10097503662</v>
      </c>
      <c r="E9" s="10">
        <v>98059</v>
      </c>
      <c r="F9" s="10">
        <v>7559</v>
      </c>
      <c r="G9" s="10">
        <v>7943</v>
      </c>
      <c r="H9" s="10">
        <v>15502</v>
      </c>
      <c r="I9" s="10">
        <v>45666</v>
      </c>
      <c r="J9" s="15">
        <f t="shared" si="1"/>
        <v>0.50286640627203183</v>
      </c>
      <c r="K9" s="20">
        <f t="shared" si="0"/>
        <v>0.46246126897912021</v>
      </c>
      <c r="L9" s="12">
        <v>251344</v>
      </c>
      <c r="M9" s="20">
        <v>3.7069645796063998E-2</v>
      </c>
      <c r="N9" s="20">
        <v>1.26253770077855E-2</v>
      </c>
      <c r="O9" s="12">
        <v>205986.23700000005</v>
      </c>
    </row>
    <row r="10" spans="1:15" ht="15.4" thickBot="1">
      <c r="A10" s="7">
        <v>2019</v>
      </c>
      <c r="B10" s="10">
        <v>549699</v>
      </c>
      <c r="C10" s="10">
        <v>232603.87462306023</v>
      </c>
      <c r="D10" s="10">
        <v>206344.41780471802</v>
      </c>
      <c r="E10" s="10">
        <v>105272</v>
      </c>
      <c r="F10" s="10">
        <v>8065</v>
      </c>
      <c r="G10" s="10">
        <v>8591</v>
      </c>
      <c r="H10" s="10">
        <v>16656</v>
      </c>
      <c r="I10" s="10">
        <v>45870</v>
      </c>
      <c r="J10" s="15">
        <f t="shared" si="1"/>
        <v>0.51017614685185331</v>
      </c>
      <c r="K10" s="20">
        <f t="shared" si="0"/>
        <v>0.45608414787001611</v>
      </c>
      <c r="L10" s="12">
        <v>250709</v>
      </c>
      <c r="M10" s="20">
        <v>6.9478263249208805E-2</v>
      </c>
      <c r="N10" s="20">
        <v>1.0999999999999999E-2</v>
      </c>
      <c r="O10" s="12">
        <v>221828.58900000004</v>
      </c>
    </row>
    <row r="11" spans="1:15" ht="15.4" thickBot="1">
      <c r="A11" s="7">
        <v>2020</v>
      </c>
      <c r="B11" s="10">
        <v>555838.99754667282</v>
      </c>
      <c r="C11" s="10">
        <v>218350.84702324867</v>
      </c>
      <c r="D11" s="10">
        <v>186626.71273469925</v>
      </c>
      <c r="E11" s="10">
        <v>103189</v>
      </c>
      <c r="F11" s="10">
        <v>8438</v>
      </c>
      <c r="G11" s="10">
        <v>8501</v>
      </c>
      <c r="H11" s="10">
        <v>16939</v>
      </c>
      <c r="I11" s="10">
        <v>46618</v>
      </c>
      <c r="J11" s="15">
        <f t="shared" si="1"/>
        <v>0.55291655994974942</v>
      </c>
      <c r="K11" s="20">
        <f t="shared" si="0"/>
        <v>0.45104607828267468</v>
      </c>
      <c r="L11" s="12">
        <v>250709</v>
      </c>
      <c r="M11" s="20">
        <v>-0.20805275915089499</v>
      </c>
      <c r="N11" s="20">
        <v>6.0579580839561498E-3</v>
      </c>
      <c r="O11" s="12">
        <v>176319.79700000002</v>
      </c>
    </row>
    <row r="12" spans="1:15" ht="15.4" thickBot="1">
      <c r="A12" s="7">
        <v>2021</v>
      </c>
      <c r="B12" s="10">
        <v>506594.99927830696</v>
      </c>
      <c r="C12" s="10">
        <v>231663.98594713211</v>
      </c>
      <c r="D12" s="10">
        <v>211579.56005716324</v>
      </c>
      <c r="E12" s="10">
        <v>104851</v>
      </c>
      <c r="F12" s="10">
        <v>8941</v>
      </c>
      <c r="G12" s="10">
        <v>9066</v>
      </c>
      <c r="H12" s="10">
        <v>18007</v>
      </c>
      <c r="I12" s="10">
        <v>46112</v>
      </c>
      <c r="J12" s="15">
        <f t="shared" si="1"/>
        <v>0.49556299281306765</v>
      </c>
      <c r="K12" s="20">
        <f t="shared" si="0"/>
        <v>0.50767970541831031</v>
      </c>
      <c r="L12" s="12">
        <v>257188</v>
      </c>
      <c r="M12" s="20">
        <v>7.0335301032589295E-2</v>
      </c>
      <c r="N12" s="20">
        <v>1.9E-2</v>
      </c>
      <c r="O12" s="12">
        <v>191268.85399999999</v>
      </c>
    </row>
    <row r="13" spans="1:15" ht="15.4" thickBot="1">
      <c r="A13" s="7">
        <v>2022</v>
      </c>
      <c r="B13" s="10">
        <v>506594.99927830696</v>
      </c>
      <c r="C13" s="10">
        <v>214014.10405898094</v>
      </c>
      <c r="D13" s="10">
        <v>190579.178784132</v>
      </c>
      <c r="E13" s="10">
        <v>115235</v>
      </c>
      <c r="F13" s="10">
        <v>9473</v>
      </c>
      <c r="G13" s="10">
        <v>9630</v>
      </c>
      <c r="H13" s="10">
        <v>19103</v>
      </c>
      <c r="I13" s="10">
        <v>45502</v>
      </c>
      <c r="J13" s="15">
        <f t="shared" si="1"/>
        <v>0.60465681894099277</v>
      </c>
      <c r="K13" s="20">
        <f t="shared" si="0"/>
        <v>0.53598239300982986</v>
      </c>
      <c r="L13" s="12">
        <v>271526</v>
      </c>
      <c r="M13" s="20">
        <v>0.15843675729870799</v>
      </c>
      <c r="N13" s="20">
        <v>7.93092925430086E-2</v>
      </c>
      <c r="O13" s="12">
        <v>235627.66000000003</v>
      </c>
    </row>
    <row r="14" spans="1:15" ht="15.4" thickBot="1">
      <c r="A14" s="7">
        <v>2023</v>
      </c>
      <c r="B14" s="10">
        <v>509078</v>
      </c>
      <c r="C14" s="10">
        <v>212313.24716496468</v>
      </c>
      <c r="D14" s="10">
        <v>190460.70359420776</v>
      </c>
      <c r="E14" s="10">
        <v>119275</v>
      </c>
      <c r="F14" s="10">
        <v>9957</v>
      </c>
      <c r="G14" s="10">
        <v>10653</v>
      </c>
      <c r="H14" s="10">
        <v>20610</v>
      </c>
      <c r="I14" s="10">
        <v>46077</v>
      </c>
      <c r="J14" s="15">
        <f t="shared" si="1"/>
        <v>0.62624466753060637</v>
      </c>
      <c r="K14" s="20">
        <f>L14/B14</f>
        <v>0.55146951940567068</v>
      </c>
      <c r="L14" s="12">
        <v>280741</v>
      </c>
      <c r="M14" s="20">
        <v>5.4754358960896303E-2</v>
      </c>
      <c r="N14" s="20">
        <v>3.1E-2</v>
      </c>
      <c r="O14" s="12">
        <v>254972.75400000002</v>
      </c>
    </row>
    <row r="15" spans="1:15" ht="15.4" thickBot="1">
      <c r="A15" s="7">
        <v>2024</v>
      </c>
      <c r="B15" s="10">
        <v>511534.00108289719</v>
      </c>
      <c r="C15" s="10">
        <v>216287</v>
      </c>
      <c r="D15" s="10">
        <v>198914</v>
      </c>
      <c r="E15" s="10">
        <v>124601</v>
      </c>
      <c r="F15" s="10">
        <v>10660</v>
      </c>
      <c r="G15" s="10">
        <v>10112</v>
      </c>
      <c r="H15" s="10">
        <v>20772</v>
      </c>
      <c r="I15" s="10">
        <v>47385</v>
      </c>
      <c r="J15" s="15">
        <f t="shared" si="1"/>
        <v>0.62640638667967063</v>
      </c>
      <c r="K15" s="20">
        <f t="shared" si="0"/>
        <v>0.56346792078302166</v>
      </c>
      <c r="L15" s="12">
        <v>288233</v>
      </c>
      <c r="M15" s="20"/>
      <c r="N15" s="20"/>
      <c r="O15" s="12">
        <v>282079</v>
      </c>
    </row>
    <row r="16" spans="1:15">
      <c r="C16" s="16"/>
      <c r="D16" s="14"/>
      <c r="E16" s="9"/>
      <c r="I16" s="9"/>
    </row>
    <row r="17" spans="3:9">
      <c r="C17" s="16"/>
      <c r="D17" s="14"/>
      <c r="I17" s="9"/>
    </row>
    <row r="18" spans="3:9">
      <c r="C18" s="16"/>
      <c r="D18" s="14"/>
    </row>
    <row r="19" spans="3:9">
      <c r="C19" s="16"/>
      <c r="D19" s="14"/>
    </row>
    <row r="20" spans="3:9">
      <c r="C20" s="16"/>
      <c r="D20" s="14"/>
    </row>
    <row r="21" spans="3:9">
      <c r="C21" s="16"/>
      <c r="D21" s="14"/>
    </row>
    <row r="22" spans="3:9">
      <c r="C22" s="16"/>
      <c r="D22" s="14"/>
    </row>
    <row r="23" spans="3:9">
      <c r="C23" s="16"/>
      <c r="D23" s="14"/>
    </row>
    <row r="24" spans="3:9">
      <c r="C24" s="17"/>
      <c r="D24" s="14"/>
    </row>
    <row r="25" spans="3:9">
      <c r="C25" s="17"/>
      <c r="D25" s="14"/>
    </row>
    <row r="26" spans="3:9">
      <c r="C26" s="17"/>
      <c r="D26" s="14"/>
    </row>
    <row r="27" spans="3:9">
      <c r="C27" s="17"/>
      <c r="D27" s="14"/>
    </row>
    <row r="28" spans="3:9">
      <c r="C28" s="18"/>
      <c r="D28" s="14"/>
    </row>
    <row r="29" spans="3:9">
      <c r="C2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1" max="1" width="9.125" style="2" bestFit="1" customWidth="1"/>
    <col min="2" max="2" width="11.625" style="2" customWidth="1"/>
    <col min="3" max="3" width="14.4375" style="1" bestFit="1" customWidth="1"/>
  </cols>
  <sheetData>
    <row r="1" spans="1:3">
      <c r="A1" s="5" t="s">
        <v>16</v>
      </c>
      <c r="B1" s="5" t="s">
        <v>17</v>
      </c>
      <c r="C1" s="3" t="s">
        <v>18</v>
      </c>
    </row>
    <row r="2" spans="1:3">
      <c r="A2" s="22">
        <v>2011</v>
      </c>
      <c r="B2" s="5" t="s">
        <v>0</v>
      </c>
      <c r="C2" s="4">
        <v>110036000</v>
      </c>
    </row>
    <row r="3" spans="1:3">
      <c r="A3" s="22">
        <v>2012</v>
      </c>
      <c r="B3" s="5" t="s">
        <v>0</v>
      </c>
      <c r="C3" s="4">
        <v>106927000</v>
      </c>
    </row>
    <row r="4" spans="1:3">
      <c r="A4" s="22">
        <v>2013</v>
      </c>
      <c r="B4" s="5" t="s">
        <v>0</v>
      </c>
      <c r="C4" s="4">
        <v>118756000</v>
      </c>
    </row>
    <row r="5" spans="1:3">
      <c r="A5" s="22">
        <v>2014</v>
      </c>
      <c r="B5" s="5" t="s">
        <v>0</v>
      </c>
      <c r="C5" s="4">
        <v>115224000</v>
      </c>
    </row>
    <row r="6" spans="1:3">
      <c r="A6" s="22">
        <v>2015</v>
      </c>
      <c r="B6" s="5" t="s">
        <v>0</v>
      </c>
      <c r="C6" s="4">
        <v>142399000</v>
      </c>
    </row>
    <row r="7" spans="1:3">
      <c r="A7" s="22">
        <v>2016</v>
      </c>
      <c r="B7" s="5" t="s">
        <v>0</v>
      </c>
      <c r="C7" s="4">
        <v>163814000</v>
      </c>
    </row>
    <row r="8" spans="1:3">
      <c r="A8" s="22">
        <v>2017</v>
      </c>
      <c r="B8" s="5" t="s">
        <v>0</v>
      </c>
      <c r="C8" s="4">
        <v>177943000</v>
      </c>
    </row>
    <row r="9" spans="1:3">
      <c r="A9" s="22">
        <v>2018</v>
      </c>
      <c r="B9" s="5" t="s">
        <v>0</v>
      </c>
      <c r="C9" s="4">
        <v>200088000</v>
      </c>
    </row>
    <row r="10" spans="1:3">
      <c r="A10" s="22">
        <v>2019</v>
      </c>
      <c r="B10" s="5" t="s">
        <v>0</v>
      </c>
      <c r="C10" s="4">
        <v>218688000</v>
      </c>
    </row>
    <row r="11" spans="1:3">
      <c r="A11" s="22">
        <v>2020</v>
      </c>
      <c r="B11" s="5" t="s">
        <v>0</v>
      </c>
      <c r="C11" s="4">
        <v>205664000</v>
      </c>
    </row>
    <row r="12" spans="1:3">
      <c r="A12" s="22">
        <v>2021</v>
      </c>
      <c r="B12" s="5" t="s">
        <v>0</v>
      </c>
      <c r="C12" s="4">
        <v>284049000</v>
      </c>
    </row>
    <row r="13" spans="1:3">
      <c r="A13" s="22">
        <v>2022</v>
      </c>
      <c r="B13" s="5" t="s">
        <v>0</v>
      </c>
      <c r="C13" s="4">
        <v>296258000</v>
      </c>
    </row>
    <row r="14" spans="1:3">
      <c r="A14" s="22">
        <v>2023</v>
      </c>
      <c r="B14" s="5" t="s">
        <v>0</v>
      </c>
      <c r="C14" s="4">
        <v>298325000</v>
      </c>
    </row>
    <row r="15" spans="1:3">
      <c r="A15" s="22">
        <v>2024</v>
      </c>
      <c r="B15" s="5" t="s">
        <v>0</v>
      </c>
      <c r="C15" s="4">
        <v>329432000</v>
      </c>
    </row>
    <row r="16" spans="1:3">
      <c r="A16" s="22">
        <v>2025</v>
      </c>
      <c r="B16" s="5" t="s">
        <v>0</v>
      </c>
      <c r="C16" s="4">
        <v>314175503.99673718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5" sqref="F5"/>
    </sheetView>
  </sheetViews>
  <sheetFormatPr defaultRowHeight="13.5"/>
  <cols>
    <col min="1" max="1" width="9.0625" style="2"/>
    <col min="2" max="2" width="12.1875" style="2" bestFit="1" customWidth="1"/>
    <col min="3" max="3" width="12.625" style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1</v>
      </c>
      <c r="C2" s="4">
        <v>59123000</v>
      </c>
    </row>
    <row r="3" spans="1:3">
      <c r="A3" s="2">
        <v>2012</v>
      </c>
      <c r="B3" s="2" t="s">
        <v>1</v>
      </c>
      <c r="C3" s="4">
        <v>73691000</v>
      </c>
    </row>
    <row r="4" spans="1:3">
      <c r="A4" s="2">
        <v>2013</v>
      </c>
      <c r="B4" s="2" t="s">
        <v>1</v>
      </c>
      <c r="C4" s="4">
        <v>72433000</v>
      </c>
    </row>
    <row r="5" spans="1:3">
      <c r="A5" s="2">
        <v>2014</v>
      </c>
      <c r="B5" s="2" t="s">
        <v>1</v>
      </c>
      <c r="C5" s="4">
        <v>83164000</v>
      </c>
    </row>
    <row r="6" spans="1:3">
      <c r="A6" s="2">
        <v>2015</v>
      </c>
      <c r="B6" s="2" t="s">
        <v>1</v>
      </c>
      <c r="C6" s="4">
        <v>84166000</v>
      </c>
    </row>
    <row r="7" spans="1:3">
      <c r="A7" s="2">
        <v>2016</v>
      </c>
      <c r="B7" s="2" t="s">
        <v>1</v>
      </c>
      <c r="C7" s="4">
        <v>88249000</v>
      </c>
    </row>
    <row r="8" spans="1:3">
      <c r="A8" s="2">
        <v>2017</v>
      </c>
      <c r="B8" s="2" t="s">
        <v>1</v>
      </c>
      <c r="C8" s="4">
        <v>108283000</v>
      </c>
    </row>
    <row r="9" spans="1:3">
      <c r="A9" s="2">
        <v>2018</v>
      </c>
      <c r="B9" s="2" t="s">
        <v>1</v>
      </c>
      <c r="C9" s="4">
        <v>123625000</v>
      </c>
    </row>
    <row r="10" spans="1:3">
      <c r="A10" s="2">
        <v>2019</v>
      </c>
      <c r="B10" s="2" t="s">
        <v>1</v>
      </c>
      <c r="C10" s="4">
        <v>142671000</v>
      </c>
    </row>
    <row r="11" spans="1:3">
      <c r="A11" s="2">
        <v>2020</v>
      </c>
      <c r="B11" s="2" t="s">
        <v>1</v>
      </c>
      <c r="C11" s="4">
        <v>125619000</v>
      </c>
    </row>
    <row r="12" spans="1:3">
      <c r="A12" s="2">
        <v>2021</v>
      </c>
      <c r="B12" s="2" t="s">
        <v>1</v>
      </c>
      <c r="C12" s="4">
        <v>127194000</v>
      </c>
    </row>
    <row r="13" spans="1:3">
      <c r="A13" s="2">
        <v>2022</v>
      </c>
      <c r="B13" s="2" t="s">
        <v>1</v>
      </c>
      <c r="C13" s="4">
        <v>127000000</v>
      </c>
    </row>
    <row r="14" spans="1:3">
      <c r="A14" s="2">
        <v>2023</v>
      </c>
      <c r="B14" s="2" t="s">
        <v>1</v>
      </c>
      <c r="C14" s="4">
        <v>133188000</v>
      </c>
    </row>
    <row r="15" spans="1:3">
      <c r="A15" s="2">
        <v>2024</v>
      </c>
      <c r="B15" s="2" t="s">
        <v>1</v>
      </c>
      <c r="C15" s="4">
        <v>200131000</v>
      </c>
    </row>
    <row r="16" spans="1:3">
      <c r="A16" s="2">
        <v>2025</v>
      </c>
      <c r="B16" s="2" t="s">
        <v>1</v>
      </c>
      <c r="C16" s="4">
        <v>213203428.85702112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3" max="3" width="11.875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2</v>
      </c>
      <c r="C2" s="3">
        <v>400000000</v>
      </c>
    </row>
    <row r="3" spans="1:3">
      <c r="A3" s="2">
        <v>2012</v>
      </c>
      <c r="B3" s="2" t="s">
        <v>2</v>
      </c>
      <c r="C3" s="3">
        <v>400000000</v>
      </c>
    </row>
    <row r="4" spans="1:3">
      <c r="A4" s="2">
        <v>2013</v>
      </c>
      <c r="B4" s="2" t="s">
        <v>2</v>
      </c>
      <c r="C4" s="3">
        <v>400000000</v>
      </c>
    </row>
    <row r="5" spans="1:3">
      <c r="A5" s="2">
        <v>2014</v>
      </c>
      <c r="B5" s="2" t="s">
        <v>2</v>
      </c>
      <c r="C5" s="3">
        <v>400000000</v>
      </c>
    </row>
    <row r="6" spans="1:3">
      <c r="A6" s="2">
        <v>2015</v>
      </c>
      <c r="B6" s="2" t="s">
        <v>2</v>
      </c>
      <c r="C6" s="3">
        <v>400000000</v>
      </c>
    </row>
    <row r="7" spans="1:3">
      <c r="A7" s="2">
        <v>2016</v>
      </c>
      <c r="B7" s="2" t="s">
        <v>2</v>
      </c>
      <c r="C7" s="3">
        <v>400000000</v>
      </c>
    </row>
    <row r="8" spans="1:3">
      <c r="A8" s="2">
        <v>2017</v>
      </c>
      <c r="B8" s="2" t="s">
        <v>2</v>
      </c>
      <c r="C8" s="3">
        <v>400000000</v>
      </c>
    </row>
    <row r="9" spans="1:3">
      <c r="A9" s="2">
        <v>2018</v>
      </c>
      <c r="B9" s="2" t="s">
        <v>2</v>
      </c>
      <c r="C9" s="3">
        <v>400000000</v>
      </c>
    </row>
    <row r="10" spans="1:3">
      <c r="A10" s="2">
        <v>2019</v>
      </c>
      <c r="B10" s="2" t="s">
        <v>2</v>
      </c>
      <c r="C10" s="3">
        <v>400000000</v>
      </c>
    </row>
    <row r="11" spans="1:3">
      <c r="A11" s="2">
        <v>2020</v>
      </c>
      <c r="B11" s="2" t="s">
        <v>2</v>
      </c>
      <c r="C11" s="3">
        <v>400000000</v>
      </c>
    </row>
    <row r="12" spans="1:3">
      <c r="A12" s="2">
        <v>2021</v>
      </c>
      <c r="B12" s="2" t="s">
        <v>2</v>
      </c>
      <c r="C12" s="3">
        <v>400000000</v>
      </c>
    </row>
    <row r="13" spans="1:3">
      <c r="A13" s="2">
        <v>2022</v>
      </c>
      <c r="B13" s="2" t="s">
        <v>2</v>
      </c>
      <c r="C13" s="3">
        <v>400000000</v>
      </c>
    </row>
    <row r="14" spans="1:3">
      <c r="A14" s="2">
        <v>2023</v>
      </c>
      <c r="B14" s="2" t="s">
        <v>2</v>
      </c>
      <c r="C14" s="3">
        <v>400000000</v>
      </c>
    </row>
    <row r="15" spans="1:3">
      <c r="A15" s="2">
        <v>2024</v>
      </c>
      <c r="B15" s="2" t="s">
        <v>2</v>
      </c>
      <c r="C15" s="3">
        <v>400000000</v>
      </c>
    </row>
    <row r="16" spans="1:3">
      <c r="A16" s="2">
        <v>2025</v>
      </c>
      <c r="B16" s="2" t="s">
        <v>2</v>
      </c>
      <c r="C16" s="3">
        <v>400000000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12" sqref="F12"/>
    </sheetView>
  </sheetViews>
  <sheetFormatPr defaultRowHeight="13.5"/>
  <cols>
    <col min="2" max="2" width="12" bestFit="1" customWidth="1"/>
    <col min="3" max="3" width="14.1875" bestFit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3</v>
      </c>
      <c r="C2" s="3">
        <v>93708000</v>
      </c>
    </row>
    <row r="3" spans="1:3">
      <c r="A3" s="2">
        <v>2012</v>
      </c>
      <c r="B3" s="2" t="s">
        <v>3</v>
      </c>
      <c r="C3" s="3">
        <v>135726000</v>
      </c>
    </row>
    <row r="4" spans="1:3">
      <c r="A4" s="2">
        <v>2013</v>
      </c>
      <c r="B4" s="2" t="s">
        <v>3</v>
      </c>
      <c r="C4" s="3">
        <v>115381000</v>
      </c>
    </row>
    <row r="5" spans="1:3">
      <c r="A5" s="2">
        <v>2014</v>
      </c>
      <c r="B5" s="2" t="s">
        <v>3</v>
      </c>
      <c r="C5" s="3">
        <v>114510000</v>
      </c>
    </row>
    <row r="6" spans="1:3">
      <c r="A6" s="2">
        <v>2015</v>
      </c>
      <c r="B6" s="2" t="s">
        <v>3</v>
      </c>
      <c r="C6" s="5">
        <v>119750000</v>
      </c>
    </row>
    <row r="7" spans="1:3">
      <c r="A7" s="2">
        <v>2016</v>
      </c>
      <c r="B7" s="2" t="s">
        <v>3</v>
      </c>
      <c r="C7" s="4">
        <v>141148000</v>
      </c>
    </row>
    <row r="8" spans="1:3">
      <c r="A8" s="2">
        <v>2017</v>
      </c>
      <c r="B8" s="2" t="s">
        <v>3</v>
      </c>
      <c r="C8" s="4">
        <v>143478000</v>
      </c>
    </row>
    <row r="9" spans="1:3">
      <c r="A9" s="2">
        <v>2018</v>
      </c>
      <c r="B9" s="2" t="s">
        <v>3</v>
      </c>
      <c r="C9" s="4">
        <v>158877000</v>
      </c>
    </row>
    <row r="10" spans="1:3">
      <c r="A10" s="2">
        <v>2019</v>
      </c>
      <c r="B10" s="2" t="s">
        <v>3</v>
      </c>
      <c r="C10" s="4">
        <v>191175000</v>
      </c>
    </row>
    <row r="11" spans="1:3">
      <c r="A11" s="2">
        <v>2020</v>
      </c>
      <c r="B11" s="2" t="s">
        <v>3</v>
      </c>
      <c r="C11" s="4">
        <v>146705000</v>
      </c>
    </row>
    <row r="12" spans="1:3">
      <c r="A12" s="2">
        <v>2021</v>
      </c>
      <c r="B12" s="2" t="s">
        <v>3</v>
      </c>
      <c r="C12" s="4">
        <v>165796000</v>
      </c>
    </row>
    <row r="13" spans="1:3">
      <c r="A13" s="2">
        <v>2022</v>
      </c>
      <c r="B13" s="2" t="s">
        <v>3</v>
      </c>
      <c r="C13" s="4">
        <v>199396000</v>
      </c>
    </row>
    <row r="14" spans="1:3">
      <c r="A14" s="2">
        <v>2023</v>
      </c>
      <c r="B14" s="2" t="s">
        <v>3</v>
      </c>
      <c r="C14" s="4">
        <v>227380000</v>
      </c>
    </row>
    <row r="15" spans="1:3">
      <c r="A15" s="2">
        <v>2024</v>
      </c>
      <c r="B15" s="2" t="s">
        <v>3</v>
      </c>
      <c r="C15" s="4">
        <v>244317834</v>
      </c>
    </row>
    <row r="16" spans="1:3">
      <c r="A16" s="2">
        <v>2025</v>
      </c>
      <c r="B16" s="2" t="s">
        <v>3</v>
      </c>
      <c r="C16" s="4">
        <v>260799664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1" sqref="E11"/>
    </sheetView>
  </sheetViews>
  <sheetFormatPr defaultRowHeight="13.5"/>
  <cols>
    <col min="2" max="2" width="12" bestFit="1" customWidth="1"/>
    <col min="3" max="3" width="14.1875" bestFit="1" customWidth="1"/>
  </cols>
  <sheetData>
    <row r="1" spans="1:6">
      <c r="A1" s="2" t="s">
        <v>16</v>
      </c>
      <c r="B1" s="2" t="s">
        <v>17</v>
      </c>
      <c r="C1" s="1" t="s">
        <v>18</v>
      </c>
    </row>
    <row r="2" spans="1:6">
      <c r="A2" s="2">
        <v>2011</v>
      </c>
      <c r="B2" s="2" t="s">
        <v>4</v>
      </c>
      <c r="C2" s="4">
        <v>19592407.358363722</v>
      </c>
      <c r="E2" s="6"/>
      <c r="F2" s="3"/>
    </row>
    <row r="3" spans="1:6">
      <c r="A3" s="2">
        <v>2012</v>
      </c>
      <c r="B3" s="2" t="s">
        <v>4</v>
      </c>
      <c r="C3" s="4">
        <v>16150000</v>
      </c>
    </row>
    <row r="4" spans="1:6">
      <c r="A4" s="2">
        <v>2013</v>
      </c>
      <c r="B4" s="2" t="s">
        <v>4</v>
      </c>
      <c r="C4" s="4">
        <v>20637000</v>
      </c>
      <c r="E4" s="6"/>
    </row>
    <row r="5" spans="1:6">
      <c r="A5" s="2">
        <v>2014</v>
      </c>
      <c r="B5" s="2" t="s">
        <v>4</v>
      </c>
      <c r="C5" s="4">
        <v>19690000</v>
      </c>
    </row>
    <row r="6" spans="1:6">
      <c r="A6" s="2">
        <v>2015</v>
      </c>
      <c r="B6" s="2" t="s">
        <v>4</v>
      </c>
      <c r="C6" s="4">
        <v>26038000</v>
      </c>
    </row>
    <row r="7" spans="1:6">
      <c r="A7" s="2">
        <v>2016</v>
      </c>
      <c r="B7" s="2" t="s">
        <v>4</v>
      </c>
      <c r="C7" s="4">
        <v>32787000</v>
      </c>
    </row>
    <row r="8" spans="1:6">
      <c r="A8" s="2">
        <v>2017</v>
      </c>
      <c r="B8" s="2" t="s">
        <v>4</v>
      </c>
      <c r="C8" s="4">
        <v>42858000</v>
      </c>
    </row>
    <row r="9" spans="1:6">
      <c r="A9" s="2">
        <v>2018</v>
      </c>
      <c r="B9" s="2" t="s">
        <v>4</v>
      </c>
      <c r="C9" s="4">
        <v>48230000</v>
      </c>
    </row>
    <row r="10" spans="1:6">
      <c r="A10" s="2">
        <v>2019</v>
      </c>
      <c r="B10" s="2" t="s">
        <v>4</v>
      </c>
      <c r="C10" s="4">
        <v>57114000</v>
      </c>
    </row>
    <row r="11" spans="1:6">
      <c r="A11" s="2">
        <v>2020</v>
      </c>
      <c r="B11" s="2" t="s">
        <v>4</v>
      </c>
      <c r="C11" s="4">
        <v>40808000</v>
      </c>
    </row>
    <row r="12" spans="1:6">
      <c r="A12" s="2">
        <v>2021</v>
      </c>
      <c r="B12" s="2" t="s">
        <v>4</v>
      </c>
      <c r="C12" s="4">
        <v>51395000</v>
      </c>
    </row>
    <row r="13" spans="1:6">
      <c r="A13" s="2">
        <v>2022</v>
      </c>
      <c r="B13" s="2" t="s">
        <v>4</v>
      </c>
      <c r="C13" s="4">
        <v>51786000</v>
      </c>
    </row>
    <row r="14" spans="1:6">
      <c r="A14" s="2">
        <v>2023</v>
      </c>
      <c r="B14" s="2" t="s">
        <v>4</v>
      </c>
      <c r="C14" s="4">
        <v>62896000</v>
      </c>
    </row>
    <row r="15" spans="1:6">
      <c r="A15" s="2">
        <v>2024</v>
      </c>
      <c r="B15" s="2" t="s">
        <v>4</v>
      </c>
      <c r="C15" s="4">
        <v>65635000</v>
      </c>
    </row>
    <row r="16" spans="1:6">
      <c r="A16" s="2">
        <v>2025</v>
      </c>
      <c r="B16" s="2" t="s">
        <v>4</v>
      </c>
      <c r="C16" s="4">
        <v>70546752.000000015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3" max="3" width="13.4375" bestFit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10</v>
      </c>
      <c r="C2" s="4">
        <v>39957592.641636275</v>
      </c>
    </row>
    <row r="3" spans="1:3">
      <c r="A3" s="2">
        <v>2012</v>
      </c>
      <c r="B3" s="2" t="s">
        <v>10</v>
      </c>
      <c r="C3" s="4">
        <v>32937000</v>
      </c>
    </row>
    <row r="4" spans="1:3">
      <c r="A4" s="2">
        <v>2013</v>
      </c>
      <c r="B4" s="2" t="s">
        <v>10</v>
      </c>
      <c r="C4" s="4">
        <v>26664000</v>
      </c>
    </row>
    <row r="5" spans="1:3">
      <c r="A5" s="2">
        <v>2014</v>
      </c>
      <c r="B5" s="2" t="s">
        <v>10</v>
      </c>
      <c r="C5" s="4">
        <v>6422000</v>
      </c>
    </row>
    <row r="6" spans="1:3">
      <c r="A6" s="2">
        <v>2015</v>
      </c>
      <c r="B6" s="2" t="s">
        <v>10</v>
      </c>
      <c r="C6" s="4">
        <v>467000</v>
      </c>
    </row>
    <row r="7" spans="1:3">
      <c r="A7" s="2">
        <v>2016</v>
      </c>
      <c r="B7" s="2" t="s">
        <v>10</v>
      </c>
      <c r="C7" s="4">
        <v>3958000</v>
      </c>
    </row>
    <row r="8" spans="1:3">
      <c r="A8" s="2">
        <v>2017</v>
      </c>
      <c r="B8" s="2" t="s">
        <v>10</v>
      </c>
      <c r="C8" s="4">
        <v>33807000</v>
      </c>
    </row>
    <row r="9" spans="1:3">
      <c r="A9" s="2">
        <v>2018</v>
      </c>
      <c r="B9" s="2" t="s">
        <v>10</v>
      </c>
      <c r="C9" s="4">
        <v>36002000</v>
      </c>
    </row>
    <row r="10" spans="1:3">
      <c r="A10" s="2">
        <v>2019</v>
      </c>
      <c r="B10" s="2" t="s">
        <v>10</v>
      </c>
      <c r="C10" s="4">
        <v>48359000</v>
      </c>
    </row>
    <row r="11" spans="1:3">
      <c r="A11" s="2">
        <v>2020</v>
      </c>
      <c r="B11" s="2" t="s">
        <v>10</v>
      </c>
      <c r="C11" s="4">
        <v>91707000</v>
      </c>
    </row>
    <row r="12" spans="1:3">
      <c r="A12" s="2">
        <v>2021</v>
      </c>
      <c r="B12" s="2" t="s">
        <v>10</v>
      </c>
      <c r="C12" s="4">
        <v>64377000</v>
      </c>
    </row>
    <row r="13" spans="1:3">
      <c r="A13" s="2">
        <v>2022</v>
      </c>
      <c r="B13" s="2" t="s">
        <v>10</v>
      </c>
      <c r="C13" s="4">
        <v>62518000</v>
      </c>
    </row>
    <row r="14" spans="1:3">
      <c r="A14" s="2">
        <v>2023</v>
      </c>
      <c r="B14" s="2" t="s">
        <v>10</v>
      </c>
      <c r="C14" s="4">
        <v>66879000</v>
      </c>
    </row>
    <row r="15" spans="1:3">
      <c r="A15" s="2">
        <v>2024</v>
      </c>
      <c r="B15" s="2" t="s">
        <v>10</v>
      </c>
      <c r="C15" s="4">
        <v>75911000</v>
      </c>
    </row>
    <row r="16" spans="1:3">
      <c r="A16" s="2">
        <v>2025</v>
      </c>
      <c r="B16" s="2" t="s">
        <v>10</v>
      </c>
      <c r="C16" s="4">
        <v>67681691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2.6875" bestFit="1" customWidth="1"/>
    <col min="3" max="3" width="16" bestFit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5</v>
      </c>
      <c r="C2" s="4">
        <v>598415000</v>
      </c>
    </row>
    <row r="3" spans="1:3">
      <c r="A3" s="2">
        <v>2012</v>
      </c>
      <c r="B3" s="2" t="s">
        <v>5</v>
      </c>
      <c r="C3" s="4">
        <v>598874000</v>
      </c>
    </row>
    <row r="4" spans="1:3">
      <c r="A4" s="2">
        <v>2013</v>
      </c>
      <c r="B4" s="2" t="s">
        <v>5</v>
      </c>
      <c r="C4" s="4">
        <v>576123000</v>
      </c>
    </row>
    <row r="5" spans="1:3">
      <c r="A5" s="2">
        <v>2014</v>
      </c>
      <c r="B5" s="2" t="s">
        <v>5</v>
      </c>
      <c r="C5" s="4">
        <v>490292000</v>
      </c>
    </row>
    <row r="6" spans="1:3">
      <c r="A6" s="2">
        <v>2015</v>
      </c>
      <c r="B6" s="2" t="s">
        <v>5</v>
      </c>
      <c r="C6" s="4">
        <v>556204000</v>
      </c>
    </row>
    <row r="7" spans="1:3">
      <c r="A7" s="2">
        <v>2016</v>
      </c>
      <c r="B7" s="2" t="s">
        <v>5</v>
      </c>
      <c r="C7" s="4">
        <v>541076000</v>
      </c>
    </row>
    <row r="8" spans="1:3">
      <c r="A8" s="2">
        <v>2017</v>
      </c>
      <c r="B8" s="2" t="s">
        <v>5</v>
      </c>
      <c r="C8" s="4">
        <v>649854000</v>
      </c>
    </row>
    <row r="9" spans="1:3">
      <c r="A9" s="2">
        <v>2018</v>
      </c>
      <c r="B9" s="2" t="s">
        <v>5</v>
      </c>
      <c r="C9" s="4">
        <v>669070000</v>
      </c>
    </row>
    <row r="10" spans="1:3">
      <c r="A10" s="2">
        <v>2019</v>
      </c>
      <c r="B10" s="2" t="s">
        <v>5</v>
      </c>
      <c r="C10" s="4">
        <v>826464000</v>
      </c>
    </row>
    <row r="11" spans="1:3">
      <c r="A11" s="2">
        <v>2020</v>
      </c>
      <c r="B11" s="2" t="s">
        <v>5</v>
      </c>
      <c r="C11" s="4">
        <v>707068000</v>
      </c>
    </row>
    <row r="12" spans="1:3">
      <c r="A12" s="2">
        <v>2021</v>
      </c>
      <c r="B12" s="2" t="s">
        <v>5</v>
      </c>
      <c r="C12" s="4">
        <v>767248000</v>
      </c>
    </row>
    <row r="13" spans="1:3">
      <c r="A13" s="2">
        <v>2022</v>
      </c>
      <c r="B13" s="2" t="s">
        <v>5</v>
      </c>
      <c r="C13" s="4">
        <v>837060000</v>
      </c>
    </row>
    <row r="14" spans="1:3">
      <c r="A14" s="2">
        <v>2023</v>
      </c>
      <c r="B14" s="2" t="s">
        <v>5</v>
      </c>
      <c r="C14" s="4">
        <v>900383500</v>
      </c>
    </row>
    <row r="15" spans="1:3">
      <c r="A15" s="2">
        <v>2024</v>
      </c>
      <c r="B15" s="2" t="s">
        <v>5</v>
      </c>
      <c r="C15" s="4">
        <v>1050069222.0000001</v>
      </c>
    </row>
    <row r="16" spans="1:3">
      <c r="A16" s="2">
        <v>2025</v>
      </c>
      <c r="B16" s="2" t="s">
        <v>5</v>
      </c>
      <c r="C16" s="4">
        <v>1168189393.0000002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2.6875" bestFit="1" customWidth="1"/>
    <col min="3" max="3" width="14.4375" bestFit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6</v>
      </c>
      <c r="C2" s="4">
        <v>99492000</v>
      </c>
    </row>
    <row r="3" spans="1:3">
      <c r="A3" s="2">
        <v>2012</v>
      </c>
      <c r="B3" s="2" t="s">
        <v>6</v>
      </c>
      <c r="C3" s="4">
        <v>108199000</v>
      </c>
    </row>
    <row r="4" spans="1:3">
      <c r="A4" s="2">
        <v>2013</v>
      </c>
      <c r="B4" s="2" t="s">
        <v>6</v>
      </c>
      <c r="C4" s="4">
        <v>104521000</v>
      </c>
    </row>
    <row r="5" spans="1:3">
      <c r="A5" s="2">
        <v>2014</v>
      </c>
      <c r="B5" s="2" t="s">
        <v>6</v>
      </c>
      <c r="C5" s="4">
        <v>112668000</v>
      </c>
    </row>
    <row r="6" spans="1:3">
      <c r="A6" s="2">
        <v>2015</v>
      </c>
      <c r="B6" s="2" t="s">
        <v>6</v>
      </c>
      <c r="C6" s="4">
        <v>142261000</v>
      </c>
    </row>
    <row r="7" spans="1:3">
      <c r="A7" s="2">
        <v>2016</v>
      </c>
      <c r="B7" s="2" t="s">
        <v>6</v>
      </c>
      <c r="C7" s="4">
        <v>172315000</v>
      </c>
    </row>
    <row r="8" spans="1:3">
      <c r="A8" s="2">
        <v>2017</v>
      </c>
      <c r="B8" s="2" t="s">
        <v>6</v>
      </c>
      <c r="C8" s="4">
        <v>193212000</v>
      </c>
    </row>
    <row r="9" spans="1:3">
      <c r="A9" s="2">
        <v>2018</v>
      </c>
      <c r="B9" s="2" t="s">
        <v>6</v>
      </c>
      <c r="C9" s="4">
        <v>197085000</v>
      </c>
    </row>
    <row r="10" spans="1:3">
      <c r="A10" s="2">
        <v>2019</v>
      </c>
      <c r="B10" s="2" t="s">
        <v>6</v>
      </c>
      <c r="C10" s="4">
        <v>267176000</v>
      </c>
    </row>
    <row r="11" spans="1:3">
      <c r="A11" s="2">
        <v>2020</v>
      </c>
      <c r="B11" s="2" t="s">
        <v>6</v>
      </c>
      <c r="C11" s="4">
        <v>255186000</v>
      </c>
    </row>
    <row r="12" spans="1:3">
      <c r="A12" s="2">
        <v>2021</v>
      </c>
      <c r="B12" s="2" t="s">
        <v>6</v>
      </c>
      <c r="C12" s="4">
        <v>333575000</v>
      </c>
    </row>
    <row r="13" spans="1:3">
      <c r="A13" s="2">
        <v>2022</v>
      </c>
      <c r="B13" s="2" t="s">
        <v>6</v>
      </c>
      <c r="C13" s="4">
        <v>336741000</v>
      </c>
    </row>
    <row r="14" spans="1:3">
      <c r="A14" s="2">
        <v>2023</v>
      </c>
      <c r="B14" s="2" t="s">
        <v>6</v>
      </c>
      <c r="C14" s="4">
        <v>415793800</v>
      </c>
    </row>
    <row r="15" spans="1:3">
      <c r="A15" s="2">
        <v>2024</v>
      </c>
      <c r="B15" s="2" t="s">
        <v>6</v>
      </c>
      <c r="C15" s="4">
        <v>429108341</v>
      </c>
    </row>
    <row r="16" spans="1:3">
      <c r="A16" s="2">
        <v>2025</v>
      </c>
      <c r="B16" s="2" t="s">
        <v>6</v>
      </c>
      <c r="C16" s="4">
        <v>471886705.99999994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1.0625" bestFit="1" customWidth="1"/>
    <col min="3" max="3" width="14.4375" bestFit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8</v>
      </c>
      <c r="C2" s="4">
        <v>98854000</v>
      </c>
    </row>
    <row r="3" spans="1:3">
      <c r="A3" s="2">
        <v>2012</v>
      </c>
      <c r="B3" s="2" t="s">
        <v>8</v>
      </c>
      <c r="C3" s="4">
        <v>107933000</v>
      </c>
    </row>
    <row r="4" spans="1:3">
      <c r="A4" s="2">
        <v>2013</v>
      </c>
      <c r="B4" s="2" t="s">
        <v>8</v>
      </c>
      <c r="C4" s="4">
        <v>73694000</v>
      </c>
    </row>
    <row r="5" spans="1:3">
      <c r="A5" s="2">
        <v>2014</v>
      </c>
      <c r="B5" s="2" t="s">
        <v>8</v>
      </c>
      <c r="C5" s="4">
        <v>52558000</v>
      </c>
    </row>
    <row r="6" spans="1:3">
      <c r="A6" s="2">
        <v>2015</v>
      </c>
      <c r="B6" s="2" t="s">
        <v>8</v>
      </c>
      <c r="C6" s="4">
        <v>79626000</v>
      </c>
    </row>
    <row r="7" spans="1:3">
      <c r="A7" s="2">
        <v>2016</v>
      </c>
      <c r="B7" s="2" t="s">
        <v>8</v>
      </c>
      <c r="C7" s="4">
        <v>94021000</v>
      </c>
    </row>
    <row r="8" spans="1:3">
      <c r="A8" s="2">
        <v>2017</v>
      </c>
      <c r="B8" s="2" t="s">
        <v>8</v>
      </c>
      <c r="C8" s="4">
        <v>107693000</v>
      </c>
    </row>
    <row r="9" spans="1:3">
      <c r="A9" s="2">
        <v>2018</v>
      </c>
      <c r="B9" s="2" t="s">
        <v>8</v>
      </c>
      <c r="C9" s="4">
        <v>103462000</v>
      </c>
    </row>
    <row r="10" spans="1:3">
      <c r="A10" s="2">
        <v>2019</v>
      </c>
      <c r="B10" s="2" t="s">
        <v>8</v>
      </c>
      <c r="C10" s="4">
        <v>135039000</v>
      </c>
    </row>
    <row r="11" spans="1:3">
      <c r="A11" s="2">
        <v>2020</v>
      </c>
      <c r="B11" s="2" t="s">
        <v>8</v>
      </c>
      <c r="C11" s="4">
        <v>151763000</v>
      </c>
    </row>
    <row r="12" spans="1:3">
      <c r="A12" s="2">
        <v>2021</v>
      </c>
      <c r="B12" s="2" t="s">
        <v>8</v>
      </c>
      <c r="C12" s="4">
        <v>181030000</v>
      </c>
    </row>
    <row r="13" spans="1:3">
      <c r="A13" s="2">
        <v>2022</v>
      </c>
      <c r="B13" s="2" t="s">
        <v>8</v>
      </c>
      <c r="C13" s="4">
        <v>220387000</v>
      </c>
    </row>
    <row r="14" spans="1:3">
      <c r="A14" s="2">
        <v>2023</v>
      </c>
      <c r="B14" s="2" t="s">
        <v>8</v>
      </c>
      <c r="C14" s="4">
        <v>247239000</v>
      </c>
    </row>
    <row r="15" spans="1:3">
      <c r="A15" s="2">
        <v>2024</v>
      </c>
      <c r="B15" s="2" t="s">
        <v>8</v>
      </c>
      <c r="C15" s="4">
        <v>265558173</v>
      </c>
    </row>
    <row r="16" spans="1:3">
      <c r="A16" s="2">
        <v>2025</v>
      </c>
      <c r="B16" s="2" t="s">
        <v>8</v>
      </c>
      <c r="C16" s="4">
        <v>260406666.00000003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C1"/>
    </sheetView>
  </sheetViews>
  <sheetFormatPr defaultRowHeight="13.5"/>
  <cols>
    <col min="2" max="2" width="9.4375" bestFit="1" customWidth="1"/>
    <col min="3" max="3" width="14.4375" bestFit="1" customWidth="1"/>
    <col min="5" max="5" width="11.9375" bestFit="1" customWidth="1"/>
  </cols>
  <sheetData>
    <row r="1" spans="1:5">
      <c r="A1" s="2" t="s">
        <v>16</v>
      </c>
      <c r="B1" s="2" t="s">
        <v>17</v>
      </c>
      <c r="C1" s="1" t="s">
        <v>18</v>
      </c>
    </row>
    <row r="2" spans="1:5">
      <c r="A2" s="2">
        <v>2010</v>
      </c>
      <c r="B2" s="2" t="s">
        <v>7</v>
      </c>
      <c r="C2" s="4">
        <v>82893000</v>
      </c>
    </row>
    <row r="3" spans="1:5">
      <c r="A3" s="2">
        <v>2011</v>
      </c>
      <c r="B3" s="2" t="s">
        <v>7</v>
      </c>
      <c r="C3" s="4">
        <v>99492000</v>
      </c>
    </row>
    <row r="4" spans="1:5">
      <c r="A4" s="2">
        <v>2012</v>
      </c>
      <c r="B4" s="2" t="s">
        <v>7</v>
      </c>
      <c r="C4" s="4">
        <v>117926000</v>
      </c>
    </row>
    <row r="5" spans="1:5">
      <c r="A5" s="2">
        <v>2013</v>
      </c>
      <c r="B5" s="2" t="s">
        <v>7</v>
      </c>
      <c r="C5" s="4">
        <v>109054000</v>
      </c>
      <c r="E5" s="6"/>
    </row>
    <row r="6" spans="1:5">
      <c r="A6" s="2">
        <v>2014</v>
      </c>
      <c r="B6" s="2" t="s">
        <v>7</v>
      </c>
      <c r="C6" s="4">
        <v>61292000</v>
      </c>
      <c r="E6" s="6"/>
    </row>
    <row r="7" spans="1:5">
      <c r="A7" s="2">
        <v>2015</v>
      </c>
      <c r="B7" s="2" t="s">
        <v>7</v>
      </c>
      <c r="C7" s="4">
        <v>97578000</v>
      </c>
    </row>
    <row r="8" spans="1:5">
      <c r="A8" s="2">
        <v>2016</v>
      </c>
      <c r="B8" s="2" t="s">
        <v>7</v>
      </c>
      <c r="C8" s="4">
        <v>99344000</v>
      </c>
    </row>
    <row r="9" spans="1:5">
      <c r="A9" s="2">
        <v>2017</v>
      </c>
      <c r="B9" s="2" t="s">
        <v>7</v>
      </c>
      <c r="C9" s="4">
        <v>107166000</v>
      </c>
    </row>
    <row r="10" spans="1:5">
      <c r="A10" s="2">
        <v>2018</v>
      </c>
      <c r="B10" s="2" t="s">
        <v>7</v>
      </c>
      <c r="C10" s="4">
        <v>108827000</v>
      </c>
    </row>
    <row r="11" spans="1:5">
      <c r="A11" s="2">
        <v>2019</v>
      </c>
      <c r="B11" s="2" t="s">
        <v>7</v>
      </c>
      <c r="C11" s="4">
        <v>125442000</v>
      </c>
    </row>
    <row r="12" spans="1:5">
      <c r="A12" s="2">
        <v>2020</v>
      </c>
      <c r="B12" s="2" t="s">
        <v>7</v>
      </c>
      <c r="C12" s="4">
        <v>113988000</v>
      </c>
    </row>
    <row r="13" spans="1:5">
      <c r="A13" s="2">
        <v>2021</v>
      </c>
      <c r="B13" s="2" t="s">
        <v>7</v>
      </c>
      <c r="C13" s="4">
        <v>110191000</v>
      </c>
    </row>
    <row r="14" spans="1:5">
      <c r="A14" s="2">
        <v>2022</v>
      </c>
      <c r="B14" s="2" t="s">
        <v>7</v>
      </c>
      <c r="C14" s="4">
        <v>126640000</v>
      </c>
    </row>
    <row r="15" spans="1:5">
      <c r="A15" s="2">
        <v>2023</v>
      </c>
      <c r="B15" s="2" t="s">
        <v>7</v>
      </c>
      <c r="C15" s="4">
        <v>153628000</v>
      </c>
    </row>
    <row r="16" spans="1:5">
      <c r="A16" s="2">
        <v>2024</v>
      </c>
      <c r="B16" s="2" t="s">
        <v>7</v>
      </c>
      <c r="C16" s="4">
        <v>161033000</v>
      </c>
    </row>
    <row r="17" spans="1:3">
      <c r="A17" s="2">
        <v>2025</v>
      </c>
      <c r="B17" s="2" t="s">
        <v>7</v>
      </c>
      <c r="C17" s="4">
        <v>116455409.00000001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29" sqref="E29"/>
    </sheetView>
  </sheetViews>
  <sheetFormatPr defaultRowHeight="13.5"/>
  <cols>
    <col min="2" max="2" width="10.5625" bestFit="1" customWidth="1"/>
    <col min="3" max="3" width="14.4375" bestFit="1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8</v>
      </c>
      <c r="C2" s="4">
        <v>197406000</v>
      </c>
    </row>
    <row r="3" spans="1:3">
      <c r="A3" s="2">
        <v>2012</v>
      </c>
      <c r="B3" s="2" t="s">
        <v>8</v>
      </c>
      <c r="C3" s="4">
        <v>189173000</v>
      </c>
    </row>
    <row r="4" spans="1:3">
      <c r="A4" s="2">
        <v>2013</v>
      </c>
      <c r="B4" s="2" t="s">
        <v>8</v>
      </c>
      <c r="C4" s="4">
        <v>231065000</v>
      </c>
    </row>
    <row r="5" spans="1:3">
      <c r="A5" s="2">
        <v>2014</v>
      </c>
      <c r="B5" s="2" t="s">
        <v>8</v>
      </c>
      <c r="C5" s="4">
        <v>225222000</v>
      </c>
    </row>
    <row r="6" spans="1:3">
      <c r="A6" s="2">
        <v>2015</v>
      </c>
      <c r="B6" s="2" t="s">
        <v>8</v>
      </c>
      <c r="C6" s="4">
        <v>268892000</v>
      </c>
    </row>
    <row r="7" spans="1:3">
      <c r="A7" s="2">
        <v>2016</v>
      </c>
      <c r="B7" s="2" t="s">
        <v>8</v>
      </c>
      <c r="C7" s="4">
        <v>329826000</v>
      </c>
    </row>
    <row r="8" spans="1:3">
      <c r="A8" s="2">
        <v>2017</v>
      </c>
      <c r="B8" s="2" t="s">
        <v>8</v>
      </c>
      <c r="C8" s="4">
        <v>378868000</v>
      </c>
    </row>
    <row r="9" spans="1:3">
      <c r="A9" s="2">
        <v>2018</v>
      </c>
      <c r="B9" s="2" t="s">
        <v>8</v>
      </c>
      <c r="C9" s="4">
        <v>436601000</v>
      </c>
    </row>
    <row r="10" spans="1:3">
      <c r="A10" s="2">
        <v>2019</v>
      </c>
      <c r="B10" s="2" t="s">
        <v>8</v>
      </c>
      <c r="C10" s="4">
        <v>471671000</v>
      </c>
    </row>
    <row r="11" spans="1:3">
      <c r="A11" s="2">
        <v>2020</v>
      </c>
      <c r="B11" s="2" t="s">
        <v>8</v>
      </c>
      <c r="C11" s="4">
        <v>512695000</v>
      </c>
    </row>
    <row r="12" spans="1:3">
      <c r="A12" s="2">
        <v>2021</v>
      </c>
      <c r="B12" s="2" t="s">
        <v>8</v>
      </c>
      <c r="C12" s="4">
        <v>496338000</v>
      </c>
    </row>
    <row r="13" spans="1:3">
      <c r="A13" s="2">
        <v>2022</v>
      </c>
      <c r="B13" s="2" t="s">
        <v>8</v>
      </c>
      <c r="C13" s="4">
        <v>580912500</v>
      </c>
    </row>
    <row r="14" spans="1:3">
      <c r="A14" s="2">
        <v>2023</v>
      </c>
      <c r="B14" s="2" t="s">
        <v>8</v>
      </c>
      <c r="C14" s="4">
        <v>713472000</v>
      </c>
    </row>
    <row r="15" spans="1:3">
      <c r="A15" s="2">
        <v>2024</v>
      </c>
      <c r="B15" s="2" t="s">
        <v>8</v>
      </c>
      <c r="C15" s="4">
        <v>731856309</v>
      </c>
    </row>
    <row r="16" spans="1:3">
      <c r="A16" s="2">
        <v>2025</v>
      </c>
      <c r="B16" s="2" t="s">
        <v>8</v>
      </c>
      <c r="C16" s="4">
        <v>634185273.3644501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H11" sqref="H11"/>
    </sheetView>
  </sheetViews>
  <sheetFormatPr defaultRowHeight="13.5"/>
  <cols>
    <col min="2" max="2" width="14.125" customWidth="1"/>
    <col min="3" max="3" width="11.125" customWidth="1"/>
  </cols>
  <sheetData>
    <row r="1" spans="1:3">
      <c r="A1" s="2" t="s">
        <v>16</v>
      </c>
      <c r="B1" s="2" t="s">
        <v>17</v>
      </c>
      <c r="C1" s="1" t="s">
        <v>18</v>
      </c>
    </row>
    <row r="2" spans="1:3">
      <c r="A2" s="2">
        <v>2011</v>
      </c>
      <c r="B2" s="2" t="s">
        <v>9</v>
      </c>
      <c r="C2" s="4">
        <v>8134000</v>
      </c>
    </row>
    <row r="3" spans="1:3">
      <c r="A3" s="2">
        <v>2012</v>
      </c>
      <c r="B3" s="2" t="s">
        <v>9</v>
      </c>
      <c r="C3" s="4">
        <v>10612000</v>
      </c>
    </row>
    <row r="4" spans="1:3">
      <c r="A4" s="2">
        <v>2013</v>
      </c>
      <c r="B4" s="2" t="s">
        <v>9</v>
      </c>
      <c r="C4" s="4">
        <v>10612000</v>
      </c>
    </row>
    <row r="5" spans="1:3">
      <c r="A5" s="2">
        <v>2014</v>
      </c>
      <c r="B5" s="2" t="s">
        <v>9</v>
      </c>
      <c r="C5" s="4">
        <v>10612000</v>
      </c>
    </row>
    <row r="6" spans="1:3">
      <c r="A6" s="2">
        <v>2015</v>
      </c>
      <c r="B6" s="2" t="s">
        <v>9</v>
      </c>
      <c r="C6" s="4">
        <v>9503000</v>
      </c>
    </row>
    <row r="7" spans="1:3">
      <c r="A7" s="2">
        <v>2016</v>
      </c>
      <c r="B7" s="2" t="s">
        <v>9</v>
      </c>
      <c r="C7" s="4">
        <v>3502000</v>
      </c>
    </row>
    <row r="8" spans="1:3">
      <c r="A8" s="2">
        <v>2017</v>
      </c>
      <c r="B8" s="2" t="s">
        <v>9</v>
      </c>
      <c r="C8" s="4">
        <v>5352000</v>
      </c>
    </row>
    <row r="9" spans="1:3">
      <c r="A9" s="2">
        <v>2018</v>
      </c>
      <c r="B9" s="2" t="s">
        <v>9</v>
      </c>
      <c r="C9" s="4">
        <v>3458000</v>
      </c>
    </row>
    <row r="10" spans="1:3">
      <c r="A10" s="2">
        <v>2019</v>
      </c>
      <c r="B10" s="2" t="s">
        <v>9</v>
      </c>
      <c r="C10" s="4">
        <v>2732000</v>
      </c>
    </row>
    <row r="11" spans="1:3">
      <c r="A11" s="2">
        <v>2020</v>
      </c>
      <c r="B11" s="2" t="s">
        <v>9</v>
      </c>
      <c r="C11" s="4">
        <v>1964000</v>
      </c>
    </row>
    <row r="12" spans="1:3">
      <c r="A12" s="2">
        <v>2021</v>
      </c>
      <c r="B12" s="2" t="s">
        <v>9</v>
      </c>
      <c r="C12" s="4">
        <v>2134000</v>
      </c>
    </row>
    <row r="13" spans="1:3">
      <c r="A13" s="2">
        <v>2022</v>
      </c>
      <c r="B13" s="2" t="s">
        <v>9</v>
      </c>
      <c r="C13" s="4">
        <v>3200000</v>
      </c>
    </row>
    <row r="14" spans="1:3">
      <c r="A14" s="2">
        <v>2023</v>
      </c>
      <c r="B14" s="2" t="s">
        <v>9</v>
      </c>
      <c r="C14" s="4">
        <v>6901900</v>
      </c>
    </row>
    <row r="15" spans="1:3">
      <c r="A15" s="2">
        <v>2024</v>
      </c>
      <c r="B15" s="2" t="s">
        <v>9</v>
      </c>
      <c r="C15" s="4">
        <v>6056000</v>
      </c>
    </row>
    <row r="16" spans="1:3">
      <c r="A16" s="2">
        <v>2025</v>
      </c>
      <c r="B16" s="2" t="s">
        <v>9</v>
      </c>
      <c r="C16" s="4">
        <v>6302113.9999999991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População_EMPREGADA</vt:lpstr>
      <vt:lpstr>TAXA_COBERTURA</vt:lpstr>
      <vt:lpstr>SDO</vt:lpstr>
      <vt:lpstr>Maternidade</vt:lpstr>
      <vt:lpstr>CMS</vt:lpstr>
      <vt:lpstr>ESTOMATOLOGIA</vt:lpstr>
      <vt:lpstr>FISIOTERAPIA</vt:lpstr>
      <vt:lpstr>EXAMES_CLINICOS</vt:lpstr>
      <vt:lpstr>AMED</vt:lpstr>
      <vt:lpstr>PROTESE</vt:lpstr>
      <vt:lpstr>SDU</vt:lpstr>
      <vt:lpstr>TRANSPORTE</vt:lpstr>
      <vt:lpstr>EXTERNO</vt:lpstr>
      <vt:lpstr>OUTRA_DESPESA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INPS / GEARI - Leandro do Rosário Viana Duarte</dc:creator>
  <cp:lastModifiedBy>leandro viana</cp:lastModifiedBy>
  <dcterms:created xsi:type="dcterms:W3CDTF">2026-01-16T11:04:19Z</dcterms:created>
  <dcterms:modified xsi:type="dcterms:W3CDTF">2026-01-25T18:19:36Z</dcterms:modified>
</cp:coreProperties>
</file>